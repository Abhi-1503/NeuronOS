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ost Model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<sst xmlns="http://schemas.openxmlformats.org/spreadsheetml/2006/main" count="166" uniqueCount="135">
  <si>
    <t xml:space="preserve">NeuronOS — AI Unit Economics Model</t>
  </si>
  <si>
    <t xml:space="preserve">How to use this workbook</t>
  </si>
  <si>
    <t xml:space="preserve">1. Go to the 'Assumptions' tab.</t>
  </si>
  <si>
    <t xml:space="preserve">2. Every BLUE cell is an input you can change. Yellow-filled cells are the most important levers.</t>
  </si>
  <si>
    <t xml:space="preserve">3. Fill in real, current LLM pricing (per 1M tokens) in the 'Model Pricing' section — the pricing shown is a placeholder starting point, not a live quote.</t>
  </si>
  <si>
    <t xml:space="preserve">4. Set the customer profile (org size, monthly usage volumes) to match a real or hypothesized target customer.</t>
  </si>
  <si>
    <t xml:space="preserve">5. Set your monthly subscription price hypothesis at the bottom of Assumptions.</t>
  </si>
  <si>
    <t xml:space="preserve">6. Open the 'Cost Model' tab to see the per-feature cost breakdown computed from your inputs.</t>
  </si>
  <si>
    <t xml:space="preserve">7. Open the 'Summary' tab for the bottom line: total AI cost per organization per month vs. your price, gross margin $ and %, and a chart of where the cost concentrates.</t>
  </si>
  <si>
    <t xml:space="preserve">8. Everything recalculates automatically when you change an Assumptions cell — there are no hardcoded results anywhere in Cost Model or Summary.</t>
  </si>
  <si>
    <t xml:space="preserve">Color legend</t>
  </si>
  <si>
    <t xml:space="preserve">Blue text = input you should edit</t>
  </si>
  <si>
    <t xml:space="preserve">Yellow fill = key lever / most important assumption</t>
  </si>
  <si>
    <t xml:space="preserve">Black text = formula (do not overwrite)</t>
  </si>
  <si>
    <t xml:space="preserve">Green text = link to another sheet</t>
  </si>
  <si>
    <t xml:space="preserve">Important caveat</t>
  </si>
  <si>
    <t xml:space="preserve">Model pricing (per-1M-token rates) and default token-count assumptions in this workbook are placeholder starting points supplied for structure, not verified current prices — LLM provider pricing changes frequently. Replace every blue pricing cell in Assumptions with pricing pulled directly from the relevant provider's current pricing page before treating any output number as a real decision input.</t>
  </si>
  <si>
    <t xml:space="preserve">Assumptions &amp; Inputs</t>
  </si>
  <si>
    <t xml:space="preserve">Edit every blue cell. Yellow-filled cells are the highest-leverage assumptions to get right.</t>
  </si>
  <si>
    <t xml:space="preserve">1. Target Customer Profile</t>
  </si>
  <si>
    <t xml:space="preserve">Field</t>
  </si>
  <si>
    <t xml:space="preserve">Value</t>
  </si>
  <si>
    <t xml:space="preserve">Unit</t>
  </si>
  <si>
    <t xml:space="preserve">Notes</t>
  </si>
  <si>
    <t xml:space="preserve">Active users in org</t>
  </si>
  <si>
    <t xml:space="preserve">users</t>
  </si>
  <si>
    <t xml:space="preserve">Seats actively using the product</t>
  </si>
  <si>
    <t xml:space="preserve">Customers/accounts tracked</t>
  </si>
  <si>
    <t xml:space="preserve">records</t>
  </si>
  <si>
    <t xml:space="preserve">Rows in the Customers module for this org</t>
  </si>
  <si>
    <t xml:space="preserve">Projects tracked</t>
  </si>
  <si>
    <t xml:space="preserve">Documents uploaded per month</t>
  </si>
  <si>
    <t xml:space="preserve">docs/mo</t>
  </si>
  <si>
    <t xml:space="preserve">New + updated documents</t>
  </si>
  <si>
    <t xml:space="preserve">Avg pages per document</t>
  </si>
  <si>
    <t xml:space="preserve">pages</t>
  </si>
  <si>
    <t xml:space="preserve">Drives chunk count</t>
  </si>
  <si>
    <t xml:space="preserve">Chat messages sent per month</t>
  </si>
  <si>
    <t xml:space="preserve">msgs/mo</t>
  </si>
  <si>
    <t xml:space="preserve">AI Workspace usage — the biggest lever</t>
  </si>
  <si>
    <t xml:space="preserve">Meetings per month</t>
  </si>
  <si>
    <t xml:space="preserve">meetings/mo</t>
  </si>
  <si>
    <t xml:space="preserve">Avg meeting transcript length</t>
  </si>
  <si>
    <t xml:space="preserve">words</t>
  </si>
  <si>
    <t xml:space="preserve">0 if no transcript captured (manual notes only)</t>
  </si>
  <si>
    <t xml:space="preserve">AI Actions suggested per month</t>
  </si>
  <si>
    <t xml:space="preserve">actions/mo</t>
  </si>
  <si>
    <t xml:space="preserve">Drafted follow-ups, briefs, etc.</t>
  </si>
  <si>
    <t xml:space="preserve">2. Model Pricing (per 1,000,000 tokens, USD)</t>
  </si>
  <si>
    <t xml:space="preserve">Cheap/fast model — input</t>
  </si>
  <si>
    <t xml:space="preserve">$/1M tok</t>
  </si>
  <si>
    <t xml:space="preserve">Used for: embedding-adjacent extraction, classification</t>
  </si>
  <si>
    <t xml:space="preserve">Cheap/fast model — output</t>
  </si>
  <si>
    <t xml:space="preserve">Frontier/reasoning model — input</t>
  </si>
  <si>
    <t xml:space="preserve">Used for: chat, drafting, summarization, briefs</t>
  </si>
  <si>
    <t xml:space="preserve">Frontier/reasoning model — output</t>
  </si>
  <si>
    <t xml:space="preserve">Embedding model</t>
  </si>
  <si>
    <t xml:space="preserve">Used for: document chunk embeddings</t>
  </si>
  <si>
    <t xml:space="preserve">PLACEHOLDER RATES — replace with current pricing from provider pricing pages before relying on this model.</t>
  </si>
  <si>
    <t xml:space="preserve">3. Token Assumptions per Event</t>
  </si>
  <si>
    <t xml:space="preserve">Chunks per page</t>
  </si>
  <si>
    <t xml:space="preserve">chunks/pg</t>
  </si>
  <si>
    <t xml:space="preserve">~500-token semantic chunks</t>
  </si>
  <si>
    <t xml:space="preserve">Tokens per chunk (for embedding)</t>
  </si>
  <si>
    <t xml:space="preserve">tokens</t>
  </si>
  <si>
    <t xml:space="preserve">Doc summarization — input tokens/doc</t>
  </si>
  <si>
    <t xml:space="preserve">Full doc text fed to summarizer, scales with pages</t>
  </si>
  <si>
    <t xml:space="preserve">Doc summarization — output tokens/doc</t>
  </si>
  <si>
    <t xml:space="preserve">AI Summary length</t>
  </si>
  <si>
    <t xml:space="preserve">Chat — input tokens/message</t>
  </si>
  <si>
    <t xml:space="preserve">Question + RAG-retrieved context + recent history — often much larger than the visible question</t>
  </si>
  <si>
    <t xml:space="preserve">Chat — output tokens/message</t>
  </si>
  <si>
    <t xml:space="preserve">Meeting brief — input tokens</t>
  </si>
  <si>
    <t xml:space="preserve">Related context: customer summary, docs, prior meetings</t>
  </si>
  <si>
    <t xml:space="preserve">Meeting brief — output tokens</t>
  </si>
  <si>
    <t xml:space="preserve">Meeting summarization — input tokens per word of transcript</t>
  </si>
  <si>
    <t xml:space="preserve">tokens/word</t>
  </si>
  <si>
    <t xml:space="preserve">Rough word-to-token ratio</t>
  </si>
  <si>
    <t xml:space="preserve">Meeting summarization — output tokens</t>
  </si>
  <si>
    <t xml:space="preserve">Summary + extracted action items</t>
  </si>
  <si>
    <t xml:space="preserve">AI Action draft — input tokens</t>
  </si>
  <si>
    <t xml:space="preserve">Context injection: customer/project state</t>
  </si>
  <si>
    <t xml:space="preserve">AI Action draft — output tokens</t>
  </si>
  <si>
    <t xml:space="preserve">Drafted email/task/report</t>
  </si>
  <si>
    <t xml:space="preserve">4. Pricing Hypothesis</t>
  </si>
  <si>
    <t xml:space="preserve">Monthly subscription price per organization</t>
  </si>
  <si>
    <t xml:space="preserve">$/mo</t>
  </si>
  <si>
    <t xml:space="preserve">Your hypothesized SMB plan price — change this to test different price points</t>
  </si>
  <si>
    <t xml:space="preserve">Non-AI infra cost per org per month (hosting, storage, misc.)</t>
  </si>
  <si>
    <t xml:space="preserve">Rough estimate — DB, Redis, R2 storage, background workers</t>
  </si>
  <si>
    <t xml:space="preserve">Monthly AI Cost by Feature</t>
  </si>
  <si>
    <t xml:space="preserve">All cells below are formulas pulling from the Assumptions tab — change assumptions there, this recalculates.</t>
  </si>
  <si>
    <t xml:space="preserve">Feature</t>
  </si>
  <si>
    <t xml:space="preserve">Monthly Volume</t>
  </si>
  <si>
    <t xml:space="preserve">Input Cost ($)</t>
  </si>
  <si>
    <t xml:space="preserve">Output Cost ($)</t>
  </si>
  <si>
    <t xml:space="preserve">Total Cost ($)</t>
  </si>
  <si>
    <t xml:space="preserve">Formula basis</t>
  </si>
  <si>
    <t xml:space="preserve">Document embedding</t>
  </si>
  <si>
    <t xml:space="preserve">Volume = docs/mo × avg pages × chunks/page. Embeddings have no output tokens.</t>
  </si>
  <si>
    <t xml:space="preserve">Document summarization</t>
  </si>
  <si>
    <t xml:space="preserve">One summarization call per uploaded document, frontier model.</t>
  </si>
  <si>
    <t xml:space="preserve">AI Workspace chat</t>
  </si>
  <si>
    <t xml:space="preserve">One call per chat message. Input includes RAG-retrieved context + history, not just the question.</t>
  </si>
  <si>
    <t xml:space="preserve">Meeting briefs</t>
  </si>
  <si>
    <t xml:space="preserve">One pre-meeting brief generated per meeting.</t>
  </si>
  <si>
    <t xml:space="preserve">Meeting summarization</t>
  </si>
  <si>
    <t xml:space="preserve">Input tokens scale with transcript length (words × tokens/word ratio).</t>
  </si>
  <si>
    <t xml:space="preserve">AI Action drafting</t>
  </si>
  <si>
    <t xml:space="preserve">One generation call per suggested AI Action (follow-up email, task, etc.).</t>
  </si>
  <si>
    <t xml:space="preserve">Total AI Cost per Organization / Month</t>
  </si>
  <si>
    <t xml:space="preserve">Unit Economics Summary</t>
  </si>
  <si>
    <t xml:space="preserve">The bottom line — does the AI cost per organization leave room for a healthy margin at your price?</t>
  </si>
  <si>
    <t xml:space="preserve">Metric</t>
  </si>
  <si>
    <t xml:space="preserve">Monthly subscription price</t>
  </si>
  <si>
    <t xml:space="preserve">From Assumptions § 4</t>
  </si>
  <si>
    <t xml:space="preserve">Total AI (LLM) cost per org / month</t>
  </si>
  <si>
    <t xml:space="preserve">From Cost Model total row</t>
  </si>
  <si>
    <t xml:space="preserve">Non-AI infra cost per org / month</t>
  </si>
  <si>
    <t xml:space="preserve">Total cost per org / month (AI + infra)</t>
  </si>
  <si>
    <t xml:space="preserve">Sum of the two rows above</t>
  </si>
  <si>
    <t xml:space="preserve">Gross margin ($/mo)</t>
  </si>
  <si>
    <t xml:space="preserve">Price minus total cost</t>
  </si>
  <si>
    <t xml:space="preserve">Gross margin (%)</t>
  </si>
  <si>
    <t xml:space="preserve">Gross margin as a percentage of price</t>
  </si>
  <si>
    <t xml:space="preserve">AI cost as % of price</t>
  </si>
  <si>
    <t xml:space="preserve">The single most important number in this sheet — if this is high, usage caps or model routing matter a lot</t>
  </si>
  <si>
    <t xml:space="preserve">Cost Breakdown by Feature</t>
  </si>
  <si>
    <t xml:space="preserve">Monthly Cost ($)</t>
  </si>
  <si>
    <t xml:space="preserve">% of Total AI Cost</t>
  </si>
  <si>
    <t xml:space="preserve">How to read this sheet</t>
  </si>
  <si>
    <t xml:space="preserve">Gross margin ($/mo) and (%) reflect AI + infra cost only — they do not include sales, support, or your own time; treat this as an upper bound on true margin, not the full P&amp;L.</t>
  </si>
  <si>
    <t xml:space="preserve">'AI cost as % of price' is the single most useful sanity check: if AI alone eats a large share of the subscription price, there is very little room left for anything else, and usage-based plan tiers or model routing (cheaper models for lower-stakes tasks) become urgent rather than optional.</t>
  </si>
  <si>
    <t xml:space="preserve">Chat is very likely to be the largest and most volatile cost line, because unlike the other features it has no natural cap — a highly engaged user can send far more messages than a typical one. Consider whether a message allowance per plan tier is warranted once real usage data exists.</t>
  </si>
  <si>
    <t xml:space="preserve">Re-run this model whenever: (a) you get real usage data from design partners instead of estimates, (b) provider pricing changes, or (c) you change which model tier a feature uses.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</si>
</sst>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\$#,##0.00;&quot;($&quot;#,##0.00\);\-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0"/>
      <color rgb="FF6B708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0EDFF"/>
        <bgColor rgb="FFEFEFEF"/>
      </patternFill>
    </fill>
    <fill>
      <patternFill patternType="solid">
        <fgColor rgb="FF6C5CE7"/>
        <bgColor rgb="FF4F81BD"/>
      </patternFill>
    </fill>
    <fill>
      <patternFill patternType="solid">
        <fgColor rgb="FFEFEFEF"/>
        <bgColor rgb="FFF0ED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DECEC"/>
        </patternFill>
      </fill>
    </dxf>
    <dxf>
      <fill>
        <patternFill>
          <bgColor rgb="FFE9F9F1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E9F9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0EDFF"/>
      <rgbColor rgb="FFFDECEC"/>
      <rgbColor rgb="FF99CCFF"/>
      <rgbColor rgb="FFFF99CC"/>
      <rgbColor rgb="FFCC99FF"/>
      <rgbColor rgb="FFFFCC99"/>
      <rgbColor rgb="FF6C5CE7"/>
      <rgbColor rgb="FF33CCCC"/>
      <rgbColor rgb="FF99CC00"/>
      <rgbColor rgb="FFFFCC00"/>
      <rgbColor rgb="FFFF9900"/>
      <rgbColor rgb="FFFF6600"/>
      <rgbColor rgb="FF6B7080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AI Cost by Feature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Summary!C17</c:f>
              <c:strCache>
                <c:ptCount val="1"/>
                <c:pt idx="0">
                  <c:v>Monthly Cost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Summary!$B$18:$B$23</c:f>
              <c:strCache>
                <c:ptCount val="6"/>
                <c:pt idx="0">
                  <c:v>Document embedding</c:v>
                </c:pt>
                <c:pt idx="1">
                  <c:v>Document summarization</c:v>
                </c:pt>
                <c:pt idx="2">
                  <c:v>AI Workspace chat</c:v>
                </c:pt>
                <c:pt idx="3">
                  <c:v>Meeting briefs</c:v>
                </c:pt>
                <c:pt idx="4">
                  <c:v>Meeting summarization</c:v>
                </c:pt>
                <c:pt idx="5">
                  <c:v>AI Action drafting</c:v>
                </c:pt>
              </c:strCache>
            </c:strRef>
          </c:cat>
          <c:val>
            <c:numRef>
              <c:f>Summary!$C$18:$C$23</c:f>
              <c:numCache>
                <c:formatCode>\$#,##0.00</c:formatCode>
                <c:ptCount val="6"/>
                <c:pt idx="0">
                  <c:v>0.003</c:v>
                </c:pt>
                <c:pt idx="1">
                  <c:v>0.31875</c:v>
                </c:pt>
                <c:pt idx="2">
                  <c:v>4.95</c:v>
                </c:pt>
                <c:pt idx="3">
                  <c:v>0.225</c:v>
                </c:pt>
                <c:pt idx="4">
                  <c:v>0.498</c:v>
                </c:pt>
                <c:pt idx="5">
                  <c:v>0.72</c:v>
                </c:pt>
              </c:numCache>
            </c:numRef>
          </c:val>
        </c:ser>
        <c:gapWidth val="150"/>
        <c:overlap val="0"/>
        <c:axId val="22539305"/>
        <c:axId val="48683343"/>
      </c:barChart>
      <c:catAx>
        <c:axId val="225393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83343"/>
        <c:crosses val="autoZero"/>
        <c:auto val="1"/>
        <c:lblAlgn val="ctr"/>
        <c:lblOffset val="100"/>
        <c:noMultiLvlLbl val="0"/>
      </c:catAx>
      <c:valAx>
        <c:axId val="48683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($/mo)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393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15</xdr:row>
      <xdr:rowOff>160920</xdr:rowOff>
    </xdr:from>
    <xdr:to>
      <xdr:col>15</xdr:col>
      <xdr:colOff>364680</xdr:colOff>
      <xdr:row>28</xdr:row>
      <xdr:rowOff>295200</xdr:rowOff>
    </xdr:to>
    <xdr:graphicFrame>
      <xdr:nvGraphicFramePr>
        <xdr:cNvPr id="0" name="Chart 1"/>
        <xdr:cNvGraphicFramePr/>
      </xdr:nvGraphicFramePr>
      <xdr:xfrm>
        <a:off x="8223840" y="3048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26.85" hidden="false" customHeight="false" outlineLevel="0" collapsed="false">
      <c r="B7" s="3" t="s">
        <v>4</v>
      </c>
    </row>
    <row r="8" customFormat="false" ht="26.8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26.85" hidden="false" customHeight="false" outlineLevel="0" collapsed="false">
      <c r="B11" s="3" t="s">
        <v>8</v>
      </c>
    </row>
    <row r="12" customFormat="false" ht="26.85" hidden="false" customHeight="false" outlineLevel="0" collapsed="false">
      <c r="B12" s="3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6" t="s">
        <v>12</v>
      </c>
    </row>
    <row r="17" customFormat="false" ht="15" hidden="false" customHeight="false" outlineLevel="0" collapsed="false">
      <c r="B17" s="7" t="s">
        <v>13</v>
      </c>
    </row>
    <row r="18" customFormat="false" ht="15" hidden="false" customHeight="false" outlineLevel="0" collapsed="false">
      <c r="B18" s="8" t="s">
        <v>14</v>
      </c>
    </row>
    <row r="20" customFormat="false" ht="15" hidden="false" customHeight="false" outlineLevel="0" collapsed="false">
      <c r="B20" s="9" t="s">
        <v>15</v>
      </c>
    </row>
    <row r="21" customFormat="false" ht="60" hidden="false" customHeight="true" outlineLevel="0" collapsed="false">
      <c r="B21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55"/>
  </cols>
  <sheetData>
    <row r="2" customFormat="false" ht="17.35" hidden="false" customHeight="false" outlineLevel="0" collapsed="false">
      <c r="B2" s="1" t="s">
        <v>17</v>
      </c>
    </row>
    <row r="3" customFormat="false" ht="15" hidden="false" customHeight="false" outlineLevel="0" collapsed="false">
      <c r="B3" s="10" t="s">
        <v>18</v>
      </c>
    </row>
    <row r="5" customFormat="false" ht="15" hidden="false" customHeight="false" outlineLevel="0" collapsed="false">
      <c r="B5" s="11" t="s">
        <v>19</v>
      </c>
      <c r="C5" s="12"/>
      <c r="D5" s="12"/>
      <c r="E5" s="12"/>
    </row>
    <row r="6" customFormat="false" ht="15" hidden="false" customHeight="false" outlineLevel="0" collapsed="false">
      <c r="B6" s="4" t="s">
        <v>20</v>
      </c>
      <c r="C6" s="4" t="s">
        <v>21</v>
      </c>
      <c r="D6" s="4" t="s">
        <v>22</v>
      </c>
      <c r="E6" s="4" t="s">
        <v>23</v>
      </c>
    </row>
    <row r="7" customFormat="false" ht="15" hidden="false" customHeight="false" outlineLevel="0" collapsed="false">
      <c r="B7" s="7" t="s">
        <v>24</v>
      </c>
      <c r="C7" s="5" t="n">
        <v>8</v>
      </c>
      <c r="D7" s="7" t="s">
        <v>25</v>
      </c>
      <c r="E7" s="10" t="s">
        <v>26</v>
      </c>
    </row>
    <row r="8" customFormat="false" ht="15" hidden="false" customHeight="false" outlineLevel="0" collapsed="false">
      <c r="B8" s="7" t="s">
        <v>27</v>
      </c>
      <c r="C8" s="5" t="n">
        <v>60</v>
      </c>
      <c r="D8" s="7" t="s">
        <v>28</v>
      </c>
      <c r="E8" s="10" t="s">
        <v>29</v>
      </c>
    </row>
    <row r="9" customFormat="false" ht="15" hidden="false" customHeight="false" outlineLevel="0" collapsed="false">
      <c r="B9" s="7" t="s">
        <v>30</v>
      </c>
      <c r="C9" s="5" t="n">
        <v>12</v>
      </c>
      <c r="D9" s="7" t="s">
        <v>28</v>
      </c>
      <c r="E9" s="10"/>
    </row>
    <row r="10" customFormat="false" ht="15" hidden="false" customHeight="false" outlineLevel="0" collapsed="false">
      <c r="B10" s="7" t="s">
        <v>31</v>
      </c>
      <c r="C10" s="13" t="n">
        <v>25</v>
      </c>
      <c r="D10" s="7" t="s">
        <v>32</v>
      </c>
      <c r="E10" s="10" t="s">
        <v>33</v>
      </c>
    </row>
    <row r="11" customFormat="false" ht="15" hidden="false" customHeight="false" outlineLevel="0" collapsed="false">
      <c r="B11" s="7" t="s">
        <v>34</v>
      </c>
      <c r="C11" s="5" t="n">
        <v>6</v>
      </c>
      <c r="D11" s="7" t="s">
        <v>35</v>
      </c>
      <c r="E11" s="10" t="s">
        <v>36</v>
      </c>
    </row>
    <row r="12" customFormat="false" ht="15" hidden="false" customHeight="false" outlineLevel="0" collapsed="false">
      <c r="B12" s="7" t="s">
        <v>37</v>
      </c>
      <c r="C12" s="13" t="n">
        <v>300</v>
      </c>
      <c r="D12" s="7" t="s">
        <v>38</v>
      </c>
      <c r="E12" s="10" t="s">
        <v>39</v>
      </c>
    </row>
    <row r="13" customFormat="false" ht="15" hidden="false" customHeight="false" outlineLevel="0" collapsed="false">
      <c r="B13" s="7" t="s">
        <v>40</v>
      </c>
      <c r="C13" s="5" t="n">
        <v>20</v>
      </c>
      <c r="D13" s="7" t="s">
        <v>41</v>
      </c>
      <c r="E13" s="10"/>
    </row>
    <row r="14" customFormat="false" ht="15" hidden="false" customHeight="false" outlineLevel="0" collapsed="false">
      <c r="B14" s="7" t="s">
        <v>42</v>
      </c>
      <c r="C14" s="5" t="n">
        <v>4500</v>
      </c>
      <c r="D14" s="7" t="s">
        <v>43</v>
      </c>
      <c r="E14" s="10" t="s">
        <v>44</v>
      </c>
    </row>
    <row r="15" customFormat="false" ht="15" hidden="false" customHeight="false" outlineLevel="0" collapsed="false">
      <c r="B15" s="7" t="s">
        <v>45</v>
      </c>
      <c r="C15" s="5" t="n">
        <v>80</v>
      </c>
      <c r="D15" s="7" t="s">
        <v>46</v>
      </c>
      <c r="E15" s="10" t="s">
        <v>47</v>
      </c>
    </row>
    <row r="17" customFormat="false" ht="15" hidden="false" customHeight="false" outlineLevel="0" collapsed="false">
      <c r="B17" s="11" t="s">
        <v>48</v>
      </c>
      <c r="C17" s="12"/>
      <c r="D17" s="12"/>
      <c r="E17" s="12"/>
    </row>
    <row r="18" customFormat="false" ht="15" hidden="false" customHeight="false" outlineLevel="0" collapsed="false">
      <c r="B18" s="4" t="s">
        <v>20</v>
      </c>
      <c r="C18" s="4" t="s">
        <v>21</v>
      </c>
      <c r="D18" s="4" t="s">
        <v>22</v>
      </c>
      <c r="E18" s="4" t="s">
        <v>23</v>
      </c>
    </row>
    <row r="19" customFormat="false" ht="15" hidden="false" customHeight="false" outlineLevel="0" collapsed="false">
      <c r="B19" s="7" t="s">
        <v>49</v>
      </c>
      <c r="C19" s="14" t="n">
        <v>0.25</v>
      </c>
      <c r="D19" s="7" t="s">
        <v>50</v>
      </c>
      <c r="E19" s="10" t="s">
        <v>51</v>
      </c>
    </row>
    <row r="20" customFormat="false" ht="15" hidden="false" customHeight="false" outlineLevel="0" collapsed="false">
      <c r="B20" s="7" t="s">
        <v>52</v>
      </c>
      <c r="C20" s="14" t="n">
        <v>1.25</v>
      </c>
      <c r="D20" s="7" t="s">
        <v>50</v>
      </c>
      <c r="E20" s="10"/>
    </row>
    <row r="21" customFormat="false" ht="15" hidden="false" customHeight="false" outlineLevel="0" collapsed="false">
      <c r="B21" s="7" t="s">
        <v>53</v>
      </c>
      <c r="C21" s="14" t="n">
        <v>3</v>
      </c>
      <c r="D21" s="7" t="s">
        <v>50</v>
      </c>
      <c r="E21" s="10" t="s">
        <v>54</v>
      </c>
    </row>
    <row r="22" customFormat="false" ht="15" hidden="false" customHeight="false" outlineLevel="0" collapsed="false">
      <c r="B22" s="7" t="s">
        <v>55</v>
      </c>
      <c r="C22" s="14" t="n">
        <v>15</v>
      </c>
      <c r="D22" s="7" t="s">
        <v>50</v>
      </c>
      <c r="E22" s="10"/>
    </row>
    <row r="23" customFormat="false" ht="15" hidden="false" customHeight="false" outlineLevel="0" collapsed="false">
      <c r="B23" s="7" t="s">
        <v>56</v>
      </c>
      <c r="C23" s="14" t="n">
        <v>0.02</v>
      </c>
      <c r="D23" s="7" t="s">
        <v>50</v>
      </c>
      <c r="E23" s="10" t="s">
        <v>57</v>
      </c>
    </row>
    <row r="24" customFormat="false" ht="15" hidden="false" customHeight="false" outlineLevel="0" collapsed="false">
      <c r="B24" s="15" t="s">
        <v>58</v>
      </c>
      <c r="C24" s="15"/>
      <c r="D24" s="15"/>
      <c r="E24" s="15"/>
    </row>
    <row r="26" customFormat="false" ht="15" hidden="false" customHeight="false" outlineLevel="0" collapsed="false">
      <c r="B26" s="11" t="s">
        <v>59</v>
      </c>
      <c r="C26" s="12"/>
      <c r="D26" s="12"/>
      <c r="E26" s="12"/>
    </row>
    <row r="27" customFormat="false" ht="15" hidden="false" customHeight="false" outlineLevel="0" collapsed="false">
      <c r="B27" s="4" t="s">
        <v>20</v>
      </c>
      <c r="C27" s="4" t="s">
        <v>21</v>
      </c>
      <c r="D27" s="4" t="s">
        <v>22</v>
      </c>
      <c r="E27" s="4" t="s">
        <v>23</v>
      </c>
    </row>
    <row r="28" customFormat="false" ht="15" hidden="false" customHeight="false" outlineLevel="0" collapsed="false">
      <c r="B28" s="7" t="s">
        <v>60</v>
      </c>
      <c r="C28" s="5" t="n">
        <v>2</v>
      </c>
      <c r="D28" s="7" t="s">
        <v>61</v>
      </c>
      <c r="E28" s="10" t="s">
        <v>62</v>
      </c>
    </row>
    <row r="29" customFormat="false" ht="15" hidden="false" customHeight="false" outlineLevel="0" collapsed="false">
      <c r="B29" s="7" t="s">
        <v>63</v>
      </c>
      <c r="C29" s="5" t="n">
        <v>500</v>
      </c>
      <c r="D29" s="7" t="s">
        <v>64</v>
      </c>
      <c r="E29" s="10"/>
    </row>
    <row r="30" customFormat="false" ht="15" hidden="false" customHeight="false" outlineLevel="0" collapsed="false">
      <c r="B30" s="7" t="s">
        <v>65</v>
      </c>
      <c r="C30" s="5" t="n">
        <v>3000</v>
      </c>
      <c r="D30" s="7" t="s">
        <v>64</v>
      </c>
      <c r="E30" s="10" t="s">
        <v>66</v>
      </c>
    </row>
    <row r="31" customFormat="false" ht="15" hidden="false" customHeight="false" outlineLevel="0" collapsed="false">
      <c r="B31" s="7" t="s">
        <v>67</v>
      </c>
      <c r="C31" s="5" t="n">
        <v>250</v>
      </c>
      <c r="D31" s="7" t="s">
        <v>64</v>
      </c>
      <c r="E31" s="10" t="s">
        <v>68</v>
      </c>
    </row>
    <row r="32" customFormat="false" ht="15" hidden="false" customHeight="false" outlineLevel="0" collapsed="false">
      <c r="B32" s="7" t="s">
        <v>69</v>
      </c>
      <c r="C32" s="13" t="n">
        <v>3500</v>
      </c>
      <c r="D32" s="7" t="s">
        <v>64</v>
      </c>
      <c r="E32" s="10" t="s">
        <v>70</v>
      </c>
    </row>
    <row r="33" customFormat="false" ht="15" hidden="false" customHeight="false" outlineLevel="0" collapsed="false">
      <c r="B33" s="7" t="s">
        <v>71</v>
      </c>
      <c r="C33" s="13" t="n">
        <v>400</v>
      </c>
      <c r="D33" s="7" t="s">
        <v>64</v>
      </c>
      <c r="E33" s="10"/>
    </row>
    <row r="34" customFormat="false" ht="15" hidden="false" customHeight="false" outlineLevel="0" collapsed="false">
      <c r="B34" s="7" t="s">
        <v>72</v>
      </c>
      <c r="C34" s="5" t="n">
        <v>2000</v>
      </c>
      <c r="D34" s="7" t="s">
        <v>64</v>
      </c>
      <c r="E34" s="10" t="s">
        <v>73</v>
      </c>
    </row>
    <row r="35" customFormat="false" ht="15" hidden="false" customHeight="false" outlineLevel="0" collapsed="false">
      <c r="B35" s="7" t="s">
        <v>74</v>
      </c>
      <c r="C35" s="5" t="n">
        <v>350</v>
      </c>
      <c r="D35" s="7" t="s">
        <v>64</v>
      </c>
      <c r="E35" s="10"/>
    </row>
    <row r="36" customFormat="false" ht="15" hidden="false" customHeight="false" outlineLevel="0" collapsed="false">
      <c r="B36" s="7" t="s">
        <v>75</v>
      </c>
      <c r="C36" s="5" t="n">
        <v>1.4</v>
      </c>
      <c r="D36" s="7" t="s">
        <v>76</v>
      </c>
      <c r="E36" s="10" t="s">
        <v>77</v>
      </c>
    </row>
    <row r="37" customFormat="false" ht="15" hidden="false" customHeight="false" outlineLevel="0" collapsed="false">
      <c r="B37" s="7" t="s">
        <v>78</v>
      </c>
      <c r="C37" s="5" t="n">
        <v>400</v>
      </c>
      <c r="D37" s="7" t="s">
        <v>64</v>
      </c>
      <c r="E37" s="10" t="s">
        <v>79</v>
      </c>
    </row>
    <row r="38" customFormat="false" ht="15" hidden="false" customHeight="false" outlineLevel="0" collapsed="false">
      <c r="B38" s="7" t="s">
        <v>80</v>
      </c>
      <c r="C38" s="5" t="n">
        <v>1500</v>
      </c>
      <c r="D38" s="7" t="s">
        <v>64</v>
      </c>
      <c r="E38" s="10" t="s">
        <v>81</v>
      </c>
    </row>
    <row r="39" customFormat="false" ht="15" hidden="false" customHeight="false" outlineLevel="0" collapsed="false">
      <c r="B39" s="7" t="s">
        <v>82</v>
      </c>
      <c r="C39" s="5" t="n">
        <v>300</v>
      </c>
      <c r="D39" s="7" t="s">
        <v>64</v>
      </c>
      <c r="E39" s="10" t="s">
        <v>83</v>
      </c>
    </row>
    <row r="41" customFormat="false" ht="15" hidden="false" customHeight="false" outlineLevel="0" collapsed="false">
      <c r="B41" s="11" t="s">
        <v>84</v>
      </c>
      <c r="C41" s="12"/>
      <c r="D41" s="12"/>
      <c r="E41" s="12"/>
    </row>
    <row r="42" customFormat="false" ht="15" hidden="false" customHeight="false" outlineLevel="0" collapsed="false">
      <c r="B42" s="4" t="s">
        <v>20</v>
      </c>
      <c r="C42" s="4" t="s">
        <v>21</v>
      </c>
      <c r="D42" s="4" t="s">
        <v>22</v>
      </c>
      <c r="E42" s="4" t="s">
        <v>23</v>
      </c>
    </row>
    <row r="43" customFormat="false" ht="15" hidden="false" customHeight="false" outlineLevel="0" collapsed="false">
      <c r="B43" s="7" t="s">
        <v>85</v>
      </c>
      <c r="C43" s="14" t="n">
        <v>99</v>
      </c>
      <c r="D43" s="7" t="s">
        <v>86</v>
      </c>
      <c r="E43" s="10" t="s">
        <v>87</v>
      </c>
    </row>
    <row r="44" customFormat="false" ht="15" hidden="false" customHeight="false" outlineLevel="0" collapsed="false">
      <c r="B44" s="7" t="s">
        <v>88</v>
      </c>
      <c r="C44" s="16" t="n">
        <v>8</v>
      </c>
      <c r="D44" s="7" t="s">
        <v>86</v>
      </c>
      <c r="E44" s="10" t="s">
        <v>89</v>
      </c>
    </row>
  </sheetData>
  <mergeCells count="1"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40"/>
  </cols>
  <sheetData>
    <row r="2" customFormat="false" ht="17.35" hidden="false" customHeight="false" outlineLevel="0" collapsed="false">
      <c r="B2" s="1" t="s">
        <v>90</v>
      </c>
    </row>
    <row r="3" customFormat="false" ht="15" hidden="false" customHeight="false" outlineLevel="0" collapsed="false">
      <c r="B3" s="10" t="s">
        <v>91</v>
      </c>
    </row>
    <row r="5" customFormat="false" ht="26.85" hidden="false" customHeight="false" outlineLevel="0" collapsed="false">
      <c r="B5" s="17" t="s">
        <v>92</v>
      </c>
      <c r="C5" s="17" t="s">
        <v>93</v>
      </c>
      <c r="D5" s="17" t="s">
        <v>94</v>
      </c>
      <c r="E5" s="17" t="s">
        <v>95</v>
      </c>
      <c r="F5" s="17" t="s">
        <v>96</v>
      </c>
      <c r="G5" s="17" t="s">
        <v>97</v>
      </c>
    </row>
    <row r="6" customFormat="false" ht="15" hidden="false" customHeight="false" outlineLevel="0" collapsed="false">
      <c r="B6" s="7" t="s">
        <v>98</v>
      </c>
      <c r="C6" s="18" t="n">
        <f aca="false">Assumptions!$C$10*Assumptions!$C$11*Assumptions!$C$28</f>
        <v>300</v>
      </c>
      <c r="D6" s="19" t="n">
        <f aca="false">C6*(Assumptions!$C$29)/1000000*Assumptions!$C$23</f>
        <v>0.003</v>
      </c>
      <c r="E6" s="19" t="n">
        <f aca="false">C6*(0)/1000000*Assumptions!$C$23</f>
        <v>0</v>
      </c>
      <c r="F6" s="20" t="n">
        <f aca="false">D6+E6</f>
        <v>0.003</v>
      </c>
      <c r="G6" s="10" t="s">
        <v>99</v>
      </c>
    </row>
    <row r="7" customFormat="false" ht="15" hidden="false" customHeight="false" outlineLevel="0" collapsed="false">
      <c r="B7" s="7" t="s">
        <v>100</v>
      </c>
      <c r="C7" s="18" t="n">
        <f aca="false">Assumptions!$C$10</f>
        <v>25</v>
      </c>
      <c r="D7" s="19" t="n">
        <f aca="false">C7*(Assumptions!$C$30)/1000000*Assumptions!$C$21</f>
        <v>0.225</v>
      </c>
      <c r="E7" s="19" t="n">
        <f aca="false">C7*(Assumptions!$C$31)/1000000*Assumptions!$C$22</f>
        <v>0.09375</v>
      </c>
      <c r="F7" s="20" t="n">
        <f aca="false">D7+E7</f>
        <v>0.31875</v>
      </c>
      <c r="G7" s="10" t="s">
        <v>101</v>
      </c>
    </row>
    <row r="8" customFormat="false" ht="15" hidden="false" customHeight="false" outlineLevel="0" collapsed="false">
      <c r="B8" s="7" t="s">
        <v>102</v>
      </c>
      <c r="C8" s="18" t="n">
        <f aca="false">Assumptions!$C$12</f>
        <v>300</v>
      </c>
      <c r="D8" s="19" t="n">
        <f aca="false">C8*(Assumptions!$C$32)/1000000*Assumptions!$C$21</f>
        <v>3.15</v>
      </c>
      <c r="E8" s="19" t="n">
        <f aca="false">C8*(Assumptions!$C$33)/1000000*Assumptions!$C$22</f>
        <v>1.8</v>
      </c>
      <c r="F8" s="20" t="n">
        <f aca="false">D8+E8</f>
        <v>4.95</v>
      </c>
      <c r="G8" s="10" t="s">
        <v>103</v>
      </c>
    </row>
    <row r="9" customFormat="false" ht="15" hidden="false" customHeight="false" outlineLevel="0" collapsed="false">
      <c r="B9" s="7" t="s">
        <v>104</v>
      </c>
      <c r="C9" s="18" t="n">
        <f aca="false">Assumptions!$C$13</f>
        <v>20</v>
      </c>
      <c r="D9" s="19" t="n">
        <f aca="false">C9*(Assumptions!$C$34)/1000000*Assumptions!$C$21</f>
        <v>0.12</v>
      </c>
      <c r="E9" s="19" t="n">
        <f aca="false">C9*(Assumptions!$C$35)/1000000*Assumptions!$C$22</f>
        <v>0.105</v>
      </c>
      <c r="F9" s="20" t="n">
        <f aca="false">D9+E9</f>
        <v>0.225</v>
      </c>
      <c r="G9" s="10" t="s">
        <v>105</v>
      </c>
    </row>
    <row r="10" customFormat="false" ht="15" hidden="false" customHeight="false" outlineLevel="0" collapsed="false">
      <c r="B10" s="7" t="s">
        <v>106</v>
      </c>
      <c r="C10" s="18" t="n">
        <f aca="false">Assumptions!$C$13</f>
        <v>20</v>
      </c>
      <c r="D10" s="19" t="n">
        <f aca="false">C10*(Assumptions!$C$14*Assumptions!$C$36)/1000000*Assumptions!$C$21</f>
        <v>0.378</v>
      </c>
      <c r="E10" s="19" t="n">
        <f aca="false">C10*(Assumptions!$C$37)/1000000*Assumptions!$C$22</f>
        <v>0.12</v>
      </c>
      <c r="F10" s="20" t="n">
        <f aca="false">D10+E10</f>
        <v>0.498</v>
      </c>
      <c r="G10" s="10" t="s">
        <v>107</v>
      </c>
    </row>
    <row r="11" customFormat="false" ht="15" hidden="false" customHeight="false" outlineLevel="0" collapsed="false">
      <c r="B11" s="7" t="s">
        <v>108</v>
      </c>
      <c r="C11" s="18" t="n">
        <f aca="false">Assumptions!$C$15</f>
        <v>80</v>
      </c>
      <c r="D11" s="19" t="n">
        <f aca="false">C11*(Assumptions!$C$38)/1000000*Assumptions!$C$21</f>
        <v>0.36</v>
      </c>
      <c r="E11" s="19" t="n">
        <f aca="false">C11*(Assumptions!$C$39)/1000000*Assumptions!$C$22</f>
        <v>0.36</v>
      </c>
      <c r="F11" s="20" t="n">
        <f aca="false">D11+E11</f>
        <v>0.72</v>
      </c>
      <c r="G11" s="10" t="s">
        <v>109</v>
      </c>
    </row>
    <row r="12" customFormat="false" ht="15" hidden="false" customHeight="false" outlineLevel="0" collapsed="false">
      <c r="B12" s="21" t="s">
        <v>110</v>
      </c>
      <c r="C12" s="22"/>
      <c r="D12" s="22"/>
      <c r="E12" s="22"/>
      <c r="F12" s="23" t="n">
        <f aca="false">SUM(F6:F11)</f>
        <v>6.71475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5"/>
  </cols>
  <sheetData>
    <row r="2" customFormat="false" ht="17.35" hidden="false" customHeight="false" outlineLevel="0" collapsed="false">
      <c r="B2" s="1" t="s">
        <v>111</v>
      </c>
    </row>
    <row r="3" customFormat="false" ht="15" hidden="false" customHeight="false" outlineLevel="0" collapsed="false">
      <c r="B3" s="10" t="s">
        <v>112</v>
      </c>
    </row>
    <row r="5" customFormat="false" ht="15" hidden="false" customHeight="false" outlineLevel="0" collapsed="false">
      <c r="B5" s="24" t="s">
        <v>113</v>
      </c>
      <c r="C5" s="24" t="s">
        <v>21</v>
      </c>
      <c r="D5" s="24" t="s">
        <v>23</v>
      </c>
    </row>
    <row r="6" customFormat="false" ht="15" hidden="false" customHeight="false" outlineLevel="0" collapsed="false">
      <c r="B6" s="4" t="s">
        <v>114</v>
      </c>
      <c r="C6" s="25" t="n">
        <f aca="false">Assumptions!$C$43</f>
        <v>99</v>
      </c>
      <c r="D6" s="10" t="s">
        <v>115</v>
      </c>
    </row>
    <row r="7" customFormat="false" ht="15" hidden="false" customHeight="false" outlineLevel="0" collapsed="false">
      <c r="B7" s="4" t="s">
        <v>116</v>
      </c>
      <c r="C7" s="25" t="n">
        <f aca="false">'Cost Model'!$F$12</f>
        <v>6.71475</v>
      </c>
      <c r="D7" s="10" t="s">
        <v>117</v>
      </c>
    </row>
    <row r="8" customFormat="false" ht="15" hidden="false" customHeight="false" outlineLevel="0" collapsed="false">
      <c r="B8" s="4" t="s">
        <v>118</v>
      </c>
      <c r="C8" s="25" t="n">
        <f aca="false">Assumptions!$C$44</f>
        <v>8</v>
      </c>
      <c r="D8" s="10" t="s">
        <v>115</v>
      </c>
    </row>
    <row r="9" customFormat="false" ht="15" hidden="false" customHeight="false" outlineLevel="0" collapsed="false">
      <c r="B9" s="4" t="s">
        <v>119</v>
      </c>
      <c r="C9" s="20" t="n">
        <f aca="false">C7+C8</f>
        <v>14.71475</v>
      </c>
      <c r="D9" s="10" t="s">
        <v>120</v>
      </c>
    </row>
    <row r="11" customFormat="false" ht="15" hidden="false" customHeight="false" outlineLevel="0" collapsed="false">
      <c r="B11" s="4" t="s">
        <v>121</v>
      </c>
      <c r="C11" s="26" t="n">
        <f aca="false">C6-C9</f>
        <v>84.28525</v>
      </c>
      <c r="D11" s="10" t="s">
        <v>122</v>
      </c>
    </row>
    <row r="12" customFormat="false" ht="15" hidden="false" customHeight="false" outlineLevel="0" collapsed="false">
      <c r="B12" s="4" t="s">
        <v>123</v>
      </c>
      <c r="C12" s="27" t="n">
        <f aca="false">IFERROR(C11/C6,0)</f>
        <v>0.851366161616162</v>
      </c>
      <c r="D12" s="10" t="s">
        <v>124</v>
      </c>
    </row>
    <row r="13" customFormat="false" ht="15" hidden="false" customHeight="false" outlineLevel="0" collapsed="false">
      <c r="B13" s="4" t="s">
        <v>125</v>
      </c>
      <c r="C13" s="27" t="n">
        <f aca="false">IFERROR(C7/C6,0)</f>
        <v>0.0678257575757576</v>
      </c>
      <c r="D13" s="10" t="s">
        <v>126</v>
      </c>
    </row>
    <row r="16" customFormat="false" ht="15" hidden="false" customHeight="false" outlineLevel="0" collapsed="false">
      <c r="B16" s="4" t="s">
        <v>127</v>
      </c>
    </row>
    <row r="17" customFormat="false" ht="15" hidden="false" customHeight="false" outlineLevel="0" collapsed="false">
      <c r="B17" s="24" t="s">
        <v>92</v>
      </c>
      <c r="C17" s="24" t="s">
        <v>128</v>
      </c>
      <c r="D17" s="24" t="s">
        <v>129</v>
      </c>
    </row>
    <row r="18" customFormat="false" ht="15" hidden="false" customHeight="false" outlineLevel="0" collapsed="false">
      <c r="B18" s="8" t="str">
        <f aca="false">'Cost Model'!B6</f>
        <v>Document embedding</v>
      </c>
      <c r="C18" s="28" t="n">
        <f aca="false">'Cost Model'!F6</f>
        <v>0.003</v>
      </c>
      <c r="D18" s="29" t="n">
        <f aca="false">IFERROR(C18/$C$7,0)</f>
        <v>0.000446777616441416</v>
      </c>
    </row>
    <row r="19" customFormat="false" ht="15" hidden="false" customHeight="false" outlineLevel="0" collapsed="false">
      <c r="B19" s="8" t="str">
        <f aca="false">'Cost Model'!B7</f>
        <v>Document summarization</v>
      </c>
      <c r="C19" s="28" t="n">
        <f aca="false">'Cost Model'!F7</f>
        <v>0.31875</v>
      </c>
      <c r="D19" s="29" t="n">
        <f aca="false">IFERROR(C19/$C$7,0)</f>
        <v>0.0474701217469005</v>
      </c>
    </row>
    <row r="20" customFormat="false" ht="15" hidden="false" customHeight="false" outlineLevel="0" collapsed="false">
      <c r="B20" s="8" t="str">
        <f aca="false">'Cost Model'!B8</f>
        <v>AI Workspace chat</v>
      </c>
      <c r="C20" s="28" t="n">
        <f aca="false">'Cost Model'!F8</f>
        <v>4.95</v>
      </c>
      <c r="D20" s="29" t="n">
        <f aca="false">IFERROR(C20/$C$7,0)</f>
        <v>0.737183067128337</v>
      </c>
    </row>
    <row r="21" customFormat="false" ht="15" hidden="false" customHeight="false" outlineLevel="0" collapsed="false">
      <c r="B21" s="8" t="str">
        <f aca="false">'Cost Model'!B9</f>
        <v>Meeting briefs</v>
      </c>
      <c r="C21" s="28" t="n">
        <f aca="false">'Cost Model'!F9</f>
        <v>0.225</v>
      </c>
      <c r="D21" s="29" t="n">
        <f aca="false">IFERROR(C21/$C$7,0)</f>
        <v>0.0335083212331062</v>
      </c>
    </row>
    <row r="22" customFormat="false" ht="15" hidden="false" customHeight="false" outlineLevel="0" collapsed="false">
      <c r="B22" s="8" t="str">
        <f aca="false">'Cost Model'!B10</f>
        <v>Meeting summarization</v>
      </c>
      <c r="C22" s="28" t="n">
        <f aca="false">'Cost Model'!F10</f>
        <v>0.498</v>
      </c>
      <c r="D22" s="29" t="n">
        <f aca="false">IFERROR(C22/$C$7,0)</f>
        <v>0.0741650843292751</v>
      </c>
    </row>
    <row r="23" customFormat="false" ht="15" hidden="false" customHeight="false" outlineLevel="0" collapsed="false">
      <c r="B23" s="8" t="str">
        <f aca="false">'Cost Model'!B11</f>
        <v>AI Action drafting</v>
      </c>
      <c r="C23" s="28" t="n">
        <f aca="false">'Cost Model'!F11</f>
        <v>0.72</v>
      </c>
      <c r="D23" s="29" t="n">
        <f aca="false">IFERROR(C23/$C$7,0)</f>
        <v>0.10722662794594</v>
      </c>
    </row>
    <row r="25" customFormat="false" ht="15" hidden="false" customHeight="false" outlineLevel="0" collapsed="false">
      <c r="B25" s="4" t="s">
        <v>130</v>
      </c>
    </row>
    <row r="26" customFormat="false" ht="31.5" hidden="false" customHeight="true" outlineLevel="0" collapsed="false">
      <c r="B26" s="30" t="s">
        <v>131</v>
      </c>
      <c r="C26" s="30"/>
      <c r="D26" s="30"/>
    </row>
    <row r="27" customFormat="false" ht="31.5" hidden="false" customHeight="true" outlineLevel="0" collapsed="false">
      <c r="B27" s="30" t="s">
        <v>132</v>
      </c>
      <c r="C27" s="30"/>
      <c r="D27" s="30"/>
    </row>
    <row r="28" customFormat="false" ht="31.5" hidden="false" customHeight="true" outlineLevel="0" collapsed="false">
      <c r="B28" s="30" t="s">
        <v>133</v>
      </c>
      <c r="C28" s="30"/>
      <c r="D28" s="30"/>
    </row>
    <row r="29" customFormat="false" ht="31.5" hidden="false" customHeight="true" outlineLevel="0" collapsed="false">
      <c r="B29" s="30" t="s">
        <v>134</v>
      </c>
      <c r="C29" s="30"/>
      <c r="D29" s="30"/>
    </row>
  </sheetData>
  <mergeCells count="4">
    <mergeCell ref="B26:D26"/>
    <mergeCell ref="B27:D27"/>
    <mergeCell ref="B28:D28"/>
    <mergeCell ref="B29:D29"/>
  </mergeCells>
  <conditionalFormatting sqref="C1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C13">
    <cfRule type="cellIs" priority="4" operator="greaterThan" aboveAverage="0" equalAverage="0" bottom="0" percent="0" rank="0" text="" dxfId="0">
      <formula>0.5</formula>
    </cfRule>
    <cfRule type="cellIs" priority="5" operator="lessThanOrEqual" aboveAverage="0" equalAverage="0" bottom="0" percent="0" rank="0" text="" dxfId="1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2026-07-20T09:05:33Z</dcterms:created>
  <dc:creator>openpyxl</dc:creator>
  <dc:description/>
  <dc:language>en-US</dc:language>
  <cp:lastModifiedBy/>
  <dcterms:modified xsi:type="dcterms:W3CDTF">2026-07-20T09:05:35Z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